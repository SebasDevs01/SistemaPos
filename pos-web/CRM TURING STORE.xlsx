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cargasX\"/>
    </mc:Choice>
  </mc:AlternateContent>
  <xr:revisionPtr revIDLastSave="0" documentId="13_ncr:1_{171E676C-3D70-4D1A-859B-B47E61E5F56F}" xr6:coauthVersionLast="47" xr6:coauthVersionMax="47" xr10:uidLastSave="{00000000-0000-0000-0000-000000000000}"/>
  <bookViews>
    <workbookView xWindow="-110" yWindow="-110" windowWidth="19420" windowHeight="10300" xr2:uid="{B5D34B43-976F-4D6F-8B84-6B6FF5F33C49}"/>
  </bookViews>
  <sheets>
    <sheet name="CRM" sheetId="1" r:id="rId1"/>
    <sheet name="CONTADOR" sheetId="3" r:id="rId2"/>
    <sheet name="PARAMETROS" sheetId="2" r:id="rId3"/>
  </sheets>
  <definedNames>
    <definedName name="EST">Tabla2[Estado de Venta]</definedName>
    <definedName name="PRO">Tabla3[Próxima Acción]</definedName>
    <definedName name="RES">Tabla4[Responsable]</definedName>
    <definedName name="SegmentaciónDeDatos_Estado_de_Venta">#N/A</definedName>
    <definedName name="SegmentaciónDeDatos_Fecha_de_ultima_actualización">#N/A</definedName>
    <definedName name="SegmentaciónDeDatos_Próxima_Acción">#N/A</definedName>
    <definedName name="SegmentaciónDeDatos_Responsable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5"/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1" l="1"/>
  <c r="O26" i="1"/>
  <c r="O23" i="1"/>
  <c r="O20" i="1"/>
  <c r="O17" i="1"/>
  <c r="O14" i="1"/>
  <c r="O11" i="1"/>
  <c r="O32" i="1"/>
  <c r="O8" i="1"/>
  <c r="O5" i="1"/>
  <c r="O2" i="1" l="1"/>
</calcChain>
</file>

<file path=xl/sharedStrings.xml><?xml version="1.0" encoding="utf-8"?>
<sst xmlns="http://schemas.openxmlformats.org/spreadsheetml/2006/main" count="167" uniqueCount="63">
  <si>
    <t>GESTION DE CLIENTES Y VENTAS</t>
  </si>
  <si>
    <t>ID</t>
  </si>
  <si>
    <t>Nombre de Cliente</t>
  </si>
  <si>
    <t>Telefono</t>
  </si>
  <si>
    <t>Estado de Venta</t>
  </si>
  <si>
    <t>Próxima Acción</t>
  </si>
  <si>
    <t>Fecha de ultima actualización</t>
  </si>
  <si>
    <t>Responsable</t>
  </si>
  <si>
    <t>Correo Electrónico</t>
  </si>
  <si>
    <t>Fecha del primer contacto</t>
  </si>
  <si>
    <t>Valor Potencial de la  Venta</t>
  </si>
  <si>
    <t>Entregado</t>
  </si>
  <si>
    <t>Seguimiento Novedad</t>
  </si>
  <si>
    <t>Cancelado</t>
  </si>
  <si>
    <t>Devolucion</t>
  </si>
  <si>
    <t>Pendiente Confirmacion</t>
  </si>
  <si>
    <t>Guia Generada</t>
  </si>
  <si>
    <t>Guia Pendiente</t>
  </si>
  <si>
    <t>Pendiente Novedad</t>
  </si>
  <si>
    <t>Confirmado</t>
  </si>
  <si>
    <t>EST</t>
  </si>
  <si>
    <t>Archivar</t>
  </si>
  <si>
    <t>Enviar Guia</t>
  </si>
  <si>
    <t>Enviar Reparto</t>
  </si>
  <si>
    <t>Enviar Reclama en Oficina</t>
  </si>
  <si>
    <t>Llamar  a Cliente</t>
  </si>
  <si>
    <t>PRO</t>
  </si>
  <si>
    <t>Sebastian Sanabria</t>
  </si>
  <si>
    <t>Santiago</t>
  </si>
  <si>
    <t>Natalia Porras</t>
  </si>
  <si>
    <t>Sulma Sandoval</t>
  </si>
  <si>
    <t>RES</t>
  </si>
  <si>
    <t>En Reparto</t>
  </si>
  <si>
    <t>Reclama en Oficina</t>
  </si>
  <si>
    <t>CONTADOR</t>
  </si>
  <si>
    <t>Fecha ultima actualizacion</t>
  </si>
  <si>
    <t>Contedeo de estado</t>
  </si>
  <si>
    <t>N/A</t>
  </si>
  <si>
    <t>Escribir  a cliente</t>
  </si>
  <si>
    <t>Novedad</t>
  </si>
  <si>
    <t>Seguimientos</t>
  </si>
  <si>
    <t>Novedad Solucionada</t>
  </si>
  <si>
    <t>Novedades Solucionadas</t>
  </si>
  <si>
    <t>Reclama En Oficina</t>
  </si>
  <si>
    <t>Novedades</t>
  </si>
  <si>
    <t>Cedula Cliente</t>
  </si>
  <si>
    <t>Garantias</t>
  </si>
  <si>
    <t>313 2595794</t>
  </si>
  <si>
    <t>Daniel Gomez</t>
  </si>
  <si>
    <t>Emma Parra</t>
  </si>
  <si>
    <t>321 7835255</t>
  </si>
  <si>
    <t>Carolina Ayala</t>
  </si>
  <si>
    <t>310 7515232</t>
  </si>
  <si>
    <t>Tifany Daniela Moceton Villamil</t>
  </si>
  <si>
    <t>320 9050033</t>
  </si>
  <si>
    <t>James Narváez</t>
  </si>
  <si>
    <t>310 3142276</t>
  </si>
  <si>
    <t>Pedro Alvarez</t>
  </si>
  <si>
    <t>322 2843981</t>
  </si>
  <si>
    <t>Yesica Ramírez</t>
  </si>
  <si>
    <t>312 5852012</t>
  </si>
  <si>
    <t>Andrés Martínez</t>
  </si>
  <si>
    <t>320 2430271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</si>
</sst>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40A]\ * #,##0.00_-;\-[$$-240A]\ * #,##0.00_-;_-[$$-240A]\ * &quot;-&quot;??_-;_-@_-"/>
  </numFmts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E25B"/>
        <bgColor indexed="64"/>
      </patternFill>
    </fill>
    <fill>
      <patternFill patternType="solid">
        <fgColor rgb="FF13CF9E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C8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164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5" borderId="0" xfId="0" applyFill="1"/>
    <xf numFmtId="0" fontId="0" fillId="9" borderId="0" xfId="0" applyFill="1"/>
    <xf numFmtId="0" fontId="0" fillId="11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22" borderId="0" xfId="0" applyFill="1"/>
    <xf numFmtId="14" fontId="0" fillId="22" borderId="0" xfId="0" applyNumberFormat="1" applyFill="1"/>
    <xf numFmtId="0" fontId="0" fillId="23" borderId="0" xfId="0" applyFill="1" applyAlignment="1">
      <alignment horizontal="center"/>
    </xf>
    <xf numFmtId="0" fontId="0" fillId="24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24994659260841701"/>
      </font>
      <fill>
        <patternFill>
          <bgColor theme="4" tint="0.39994506668294322"/>
        </patternFill>
      </fill>
      <border>
        <vertical/>
        <horizontal/>
      </border>
    </dxf>
    <dxf>
      <font>
        <color rgb="FFCC00CC"/>
      </font>
      <fill>
        <patternFill>
          <bgColor rgb="FFFF00FF"/>
        </patternFill>
      </fill>
    </dxf>
    <dxf>
      <font>
        <color rgb="FFCC00CC"/>
      </font>
      <fill>
        <patternFill>
          <bgColor rgb="FFFF99FF"/>
        </patternFill>
      </fill>
    </dxf>
    <dxf>
      <font>
        <color rgb="FF9900CC"/>
      </font>
      <fill>
        <patternFill>
          <bgColor rgb="FFCC66FF"/>
        </patternFill>
      </fill>
    </dxf>
    <dxf>
      <font>
        <color theme="5"/>
      </font>
      <fill>
        <patternFill>
          <bgColor theme="7" tint="0.59996337778862885"/>
        </patternFill>
      </fill>
    </dxf>
    <dxf>
      <font>
        <color theme="4" tint="-0.24994659260841701"/>
      </font>
      <fill>
        <patternFill>
          <bgColor theme="8" tint="0.39994506668294322"/>
        </patternFill>
      </fill>
    </dxf>
    <dxf>
      <font>
        <strike val="0"/>
        <color rgb="FFCC0000"/>
      </font>
      <fill>
        <patternFill>
          <bgColor rgb="FFFF7C80"/>
        </patternFill>
      </fill>
    </dxf>
    <dxf>
      <font>
        <color rgb="FFCC6600"/>
      </font>
      <fill>
        <patternFill>
          <fgColor rgb="FFFF9933"/>
        </patternFill>
      </fill>
    </dxf>
    <dxf>
      <font>
        <color theme="5" tint="-0.24994659260841701"/>
      </font>
      <fill>
        <patternFill>
          <bgColor rgb="FFFF9933"/>
        </patternFill>
      </fill>
    </dxf>
    <dxf>
      <font>
        <color rgb="FF993366"/>
      </font>
      <fill>
        <patternFill>
          <bgColor rgb="FFCC99FF"/>
        </patternFill>
      </fill>
    </dxf>
    <dxf>
      <font>
        <color rgb="FFCC6600"/>
      </font>
      <fill>
        <patternFill>
          <bgColor rgb="FFFFCC00"/>
        </patternFill>
      </fill>
    </dxf>
    <dxf>
      <font>
        <color rgb="FF800000"/>
      </font>
      <fill>
        <patternFill>
          <bgColor rgb="FFFF3300"/>
        </patternFill>
      </fill>
    </dxf>
    <dxf>
      <font>
        <color rgb="FF00CC99"/>
      </font>
      <fill>
        <patternFill>
          <bgColor rgb="FF99FFCC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rgb="FF002060"/>
      </font>
      <fill>
        <patternFill>
          <bgColor rgb="FF33CCCC"/>
        </patternFill>
      </fill>
    </dxf>
    <dxf>
      <font>
        <color rgb="FF333300"/>
      </font>
      <fill>
        <patternFill>
          <bgColor rgb="FF666633"/>
        </patternFill>
      </fill>
    </dxf>
    <dxf>
      <font>
        <color rgb="FFFF9966"/>
      </font>
      <fill>
        <patternFill>
          <bgColor rgb="FFFFCC99"/>
        </patternFill>
      </fill>
    </dxf>
    <dxf>
      <font>
        <color rgb="FF666699"/>
      </font>
      <fill>
        <patternFill>
          <bgColor rgb="FF6666FF"/>
        </patternFill>
      </fill>
    </dxf>
    <dxf>
      <font>
        <color rgb="FF009999"/>
      </font>
      <fill>
        <patternFill>
          <bgColor rgb="FFCCFFFF"/>
        </patternFill>
      </fill>
    </dxf>
    <dxf>
      <font>
        <color rgb="FF53AD68"/>
      </font>
      <fill>
        <patternFill>
          <bgColor rgb="FF66FF66"/>
        </patternFill>
      </fill>
    </dxf>
    <dxf>
      <font>
        <color rgb="FFFFCC00"/>
      </font>
      <fill>
        <patternFill>
          <bgColor rgb="FFFFFF00"/>
        </patternFill>
      </fill>
    </dxf>
    <dxf>
      <font>
        <color rgb="FF700000"/>
      </font>
      <fill>
        <patternFill>
          <bgColor rgb="FFC00000"/>
        </patternFill>
      </fill>
    </dxf>
    <dxf>
      <alignment horizontal="general" vertical="center" textRotation="0" wrapText="0" indent="0" justifyLastLine="0" shrinkToFit="0" readingOrder="0"/>
    </dxf>
    <dxf>
      <numFmt numFmtId="164" formatCode="_-[$$-240A]\ * #,##0.00_-;\-[$$-240A]\ * #,##0.00_-;_-[$$-240A]\ * &quot;-&quot;??_-;_-@_-"/>
      <alignment horizontal="center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colors>
    <mruColors>
      <color rgb="FFC80000"/>
      <color rgb="FF990000"/>
      <color rgb="FFA50021"/>
      <color rgb="FFBC0000"/>
      <color rgb="FFCC0027"/>
      <color rgb="FF993300"/>
      <color rgb="FF800000"/>
      <color rgb="FF700000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alcChain" Target="calcChain.xml"/><Relationship Id="rId5" Type="http://schemas.microsoft.com/office/2007/relationships/slicerCache" Target="slicerCaches/slicerCache2.xml"/><Relationship Id="rId10" Type="http://schemas.openxmlformats.org/officeDocument/2006/relationships/sharedStrings" Target="sharedStrings.xml"/><Relationship Id="rId4" Type="http://schemas.microsoft.com/office/2007/relationships/slicerCache" Target="slicerCaches/slicerCache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8429</xdr:rowOff>
    </xdr:from>
    <xdr:to>
      <xdr:col>2</xdr:col>
      <xdr:colOff>320594</xdr:colOff>
      <xdr:row>10</xdr:row>
      <xdr:rowOff>1660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Estado de Venta">
              <a:extLst>
                <a:ext uri="{FF2B5EF4-FFF2-40B4-BE49-F238E27FC236}">
                  <a16:creationId xmlns:a16="http://schemas.microsoft.com/office/drawing/2014/main" id="{75A303E8-C178-37FB-A8C2-0A043DA20B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de Ven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85835"/>
              <a:ext cx="3391390" cy="15028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309389</xdr:colOff>
      <xdr:row>2</xdr:row>
      <xdr:rowOff>8430</xdr:rowOff>
    </xdr:from>
    <xdr:to>
      <xdr:col>4</xdr:col>
      <xdr:colOff>963413</xdr:colOff>
      <xdr:row>10</xdr:row>
      <xdr:rowOff>602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Próxima Acción">
              <a:extLst>
                <a:ext uri="{FF2B5EF4-FFF2-40B4-BE49-F238E27FC236}">
                  <a16:creationId xmlns:a16="http://schemas.microsoft.com/office/drawing/2014/main" id="{D317914B-A535-0D53-D9B8-B934880194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óxima Ac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74006" y="391501"/>
              <a:ext cx="3593434" cy="15200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1301909</xdr:colOff>
      <xdr:row>2</xdr:row>
      <xdr:rowOff>5505</xdr:rowOff>
    </xdr:from>
    <xdr:to>
      <xdr:col>10</xdr:col>
      <xdr:colOff>1524000</xdr:colOff>
      <xdr:row>10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Responsable">
              <a:extLst>
                <a:ext uri="{FF2B5EF4-FFF2-40B4-BE49-F238E27FC236}">
                  <a16:creationId xmlns:a16="http://schemas.microsoft.com/office/drawing/2014/main" id="{3521DFD3-AC46-128D-30E5-4E7495DD32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ab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01979" y="388576"/>
              <a:ext cx="3902939" cy="15267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941003</xdr:colOff>
      <xdr:row>2</xdr:row>
      <xdr:rowOff>8424</xdr:rowOff>
    </xdr:from>
    <xdr:to>
      <xdr:col>6</xdr:col>
      <xdr:colOff>1324321</xdr:colOff>
      <xdr:row>9</xdr:row>
      <xdr:rowOff>184145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Fecha de ultima actualización">
              <a:extLst>
                <a:ext uri="{FF2B5EF4-FFF2-40B4-BE49-F238E27FC236}">
                  <a16:creationId xmlns:a16="http://schemas.microsoft.com/office/drawing/2014/main" id="{17D4945C-313B-0296-FC74-A8560A97B1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de ultima actualiza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38745" y="389424"/>
              <a:ext cx="3681976" cy="15155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_de_Venta" xr10:uid="{7936A787-B9D6-4BCB-8CEE-6ECDEEE7C91A}" sourceName="Estado de Venta">
  <extLst>
    <x:ext xmlns:x15="http://schemas.microsoft.com/office/spreadsheetml/2010/11/main" uri="{2F2917AC-EB37-4324-AD4E-5DD8C200BD13}">
      <x15:tableSlicerCache tableId="5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de_ultima_actualización" xr10:uid="{74F2189F-F3BA-48AD-8C89-B3B63ED81B20}" sourceName="Fecha de ultima actualización">
  <extLst>
    <x:ext xmlns:x15="http://schemas.microsoft.com/office/spreadsheetml/2010/11/main" uri="{2F2917AC-EB37-4324-AD4E-5DD8C200BD13}">
      <x15:tableSlicerCache tableId="5" column="8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able" xr10:uid="{D561E945-9925-44DE-826E-7CFCAC53D464}" sourceName="Responsable">
  <extLst>
    <x:ext xmlns:x15="http://schemas.microsoft.com/office/spreadsheetml/2010/11/main" uri="{2F2917AC-EB37-4324-AD4E-5DD8C200BD13}">
      <x15:tableSlicerCache tableId="5" column="10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óxima_Acción" xr10:uid="{864E5600-66EC-41C0-B960-D5B7DF548529}" sourceName="Próxima Acción">
  <extLst>
    <x:ext xmlns:x15="http://schemas.microsoft.com/office/spreadsheetml/2010/11/main" uri="{2F2917AC-EB37-4324-AD4E-5DD8C200BD13}">
      <x15:tableSlicerCache tableId="5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 de Venta" xr10:uid="{C3A572E7-FD2D-4B31-8EC9-CE493DF322FF}" cache="SegmentaciónDeDatos_Estado_de_Venta" caption="Estado de Venta" style="SlicerStyleLight2" rowHeight="241300"/>
  <slicer name="Fecha de ultima actualización" xr10:uid="{E26CA5A8-4C5B-45ED-96A8-6E6E5E947D0A}" cache="SegmentaciónDeDatos_Fecha_de_ultima_actualización" caption="Fecha de ultima actualización" rowHeight="241300"/>
  <slicer name="Responsable" xr10:uid="{B953E9A7-9E03-4CEF-BCEA-BC52A7BB1174}" cache="SegmentaciónDeDatos_Responsable" caption="Responsable" style="SlicerStyleLight4" rowHeight="241300"/>
  <slicer name="Próxima Acción" xr10:uid="{16417F17-9647-4B92-8E4A-B1D3C216197C}" cache="SegmentaciónDeDatos_Próxima_Acción" caption="Próxima Acción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88EF04-5940-4A06-95E7-C85A05997458}" name="CRM" displayName="CRM" ref="A11:K30" totalsRowShown="0" headerRowDxfId="31">
  <autoFilter ref="A11:K30" xr:uid="{A888EF04-5940-4A06-95E7-C85A05997458}"/>
  <tableColumns count="11">
    <tableColumn id="1" xr3:uid="{DB11002B-8D02-467B-AE5A-5191066D2359}" name="ID"/>
    <tableColumn id="2" xr3:uid="{08FFED54-BA5C-4D72-90A1-4C09C4F378F2}" name="Nombre de Cliente"/>
    <tableColumn id="12" xr3:uid="{EFFDBE18-57AC-4B98-994F-3A3392912392}" name="Cedula Cliente"/>
    <tableColumn id="3" xr3:uid="{588E9926-A475-4DA0-B417-63A2ED3FB83C}" name="Correo Electrónico" dataDxfId="30"/>
    <tableColumn id="4" xr3:uid="{5E72CC57-C0FA-4FDE-A0BF-97AED818FD4C}" name="Telefono"/>
    <tableColumn id="5" xr3:uid="{3FBF8DA3-5F97-407C-9E2F-58065AE17BD0}" name="Estado de Venta"/>
    <tableColumn id="6" xr3:uid="{4E667605-FBCE-442E-A221-C30139D80CA8}" name="Fecha del primer contacto" dataDxfId="29"/>
    <tableColumn id="7" xr3:uid="{1A28F6F7-DFAC-495A-B7CD-7849E9EDD553}" name="Próxima Acción" dataDxfId="28"/>
    <tableColumn id="8" xr3:uid="{A7279A35-108E-4F85-A849-9BB450542177}" name="Fecha de ultima actualización" dataDxfId="27"/>
    <tableColumn id="9" xr3:uid="{849EA05D-3D0A-4811-9A12-8FE5F912F90B}" name="Valor Potencial de la  Venta" dataDxfId="26"/>
    <tableColumn id="10" xr3:uid="{79912A07-7C17-46DE-BB94-320C772CA2E5}" name="Responsable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ECBFBCD-7E31-451B-A1A3-8E8596B851A3}" name="Tabla11" displayName="Tabla11" ref="B3:E4" insertRow="1" totalsRowShown="0">
  <autoFilter ref="B3:E4" xr:uid="{9ECBFBCD-7E31-451B-A1A3-8E8596B851A3}"/>
  <tableColumns count="4">
    <tableColumn id="1" xr3:uid="{5DC8FF4D-87D0-4987-A0E6-513C09A26BDE}" name="Responsable"/>
    <tableColumn id="2" xr3:uid="{6ECB1AA8-B605-4AEF-930F-21DC2AF3C342}" name="Estado de Venta"/>
    <tableColumn id="3" xr3:uid="{288AFDF0-048A-44F3-9ECA-00E611BD2ABC}" name="Fecha ultima actualizacion"/>
    <tableColumn id="4" xr3:uid="{F0A18DE1-C246-4066-BD85-A92A32FC5E96}" name="Contedeo de estado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08D32C-2460-4AB3-905E-C02F431D008D}" name="Tabla2" displayName="Tabla2" ref="B2:B17" totalsRowShown="0" headerRowDxfId="25">
  <autoFilter ref="B2:B17" xr:uid="{3708D32C-2460-4AB3-905E-C02F431D008D}"/>
  <tableColumns count="1">
    <tableColumn id="1" xr3:uid="{CC714728-0792-4A9C-AAD4-E71F5585BF51}" name="Estado de Ven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765DB1-23AE-4E30-A817-8DFC9B4338C8}" name="Tabla3" displayName="Tabla3" ref="D2:D8" totalsRowShown="0">
  <autoFilter ref="D2:D8" xr:uid="{51765DB1-23AE-4E30-A817-8DFC9B4338C8}"/>
  <tableColumns count="1">
    <tableColumn id="1" xr3:uid="{340E8C02-31CE-466D-B245-233F082325AB}" name="Próxima Ac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5B7F21-7A8C-4DC2-BAD2-DFDE4023D7BE}" name="Tabla4" displayName="Tabla4" ref="F2:F6" totalsRowShown="0">
  <autoFilter ref="F2:F6" xr:uid="{6C5B7F21-7A8C-4DC2-BAD2-DFDE4023D7BE}"/>
  <tableColumns count="1">
    <tableColumn id="1" xr3:uid="{9C96A3C4-8664-40DB-A8BA-F9D0068C48B0}" name="Respons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anp@ejemplo.com" TargetMode="External"/><Relationship Id="rId13" Type="http://schemas.openxmlformats.org/officeDocument/2006/relationships/hyperlink" Target="mailto:juanp@ejemplo.com" TargetMode="External"/><Relationship Id="rId18" Type="http://schemas.openxmlformats.org/officeDocument/2006/relationships/hyperlink" Target="mailto:juanp@ejemplo.com" TargetMode="External"/><Relationship Id="rId3" Type="http://schemas.openxmlformats.org/officeDocument/2006/relationships/hyperlink" Target="mailto:juanp@ejemplo.com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mailto:juanp@ejemplo.com" TargetMode="External"/><Relationship Id="rId12" Type="http://schemas.openxmlformats.org/officeDocument/2006/relationships/hyperlink" Target="mailto:juanp@ejemplo.com" TargetMode="External"/><Relationship Id="rId17" Type="http://schemas.openxmlformats.org/officeDocument/2006/relationships/hyperlink" Target="mailto:juanp@ejemplo.com" TargetMode="External"/><Relationship Id="rId2" Type="http://schemas.openxmlformats.org/officeDocument/2006/relationships/hyperlink" Target="mailto:juanp@ejemplo.com" TargetMode="External"/><Relationship Id="rId16" Type="http://schemas.openxmlformats.org/officeDocument/2006/relationships/hyperlink" Target="mailto:juanp@ejemplo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juanp@ejemplo.com" TargetMode="External"/><Relationship Id="rId6" Type="http://schemas.openxmlformats.org/officeDocument/2006/relationships/hyperlink" Target="mailto:juanp@ejemplo.com" TargetMode="External"/><Relationship Id="rId11" Type="http://schemas.openxmlformats.org/officeDocument/2006/relationships/hyperlink" Target="mailto:juanp@ejemplo.com" TargetMode="External"/><Relationship Id="rId5" Type="http://schemas.openxmlformats.org/officeDocument/2006/relationships/hyperlink" Target="mailto:juanp@ejemplo.com" TargetMode="External"/><Relationship Id="rId15" Type="http://schemas.openxmlformats.org/officeDocument/2006/relationships/hyperlink" Target="mailto:juanp@ejemplo.com" TargetMode="External"/><Relationship Id="rId23" Type="http://schemas.microsoft.com/office/2007/relationships/slicer" Target="../slicers/slicer1.xml"/><Relationship Id="rId10" Type="http://schemas.openxmlformats.org/officeDocument/2006/relationships/hyperlink" Target="mailto:juanp@ejemplo.com" TargetMode="External"/><Relationship Id="rId19" Type="http://schemas.openxmlformats.org/officeDocument/2006/relationships/hyperlink" Target="mailto:juanp@ejemplo.com" TargetMode="External"/><Relationship Id="rId4" Type="http://schemas.openxmlformats.org/officeDocument/2006/relationships/hyperlink" Target="mailto:juanp@ejemplo.com" TargetMode="External"/><Relationship Id="rId9" Type="http://schemas.openxmlformats.org/officeDocument/2006/relationships/hyperlink" Target="mailto:juanp@ejemplo.com" TargetMode="External"/><Relationship Id="rId14" Type="http://schemas.openxmlformats.org/officeDocument/2006/relationships/hyperlink" Target="mailto:juanp@ejemplo.com" TargetMode="External"/><Relationship Id="rId22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9492-DD25-4A40-9A35-E8C4771956A2}">
  <dimension ref="A1:P377"/>
  <sheetViews>
    <sheetView tabSelected="1" topLeftCell="H13" zoomScaleNormal="100" workbookViewId="0">
      <selection activeCell="O30" sqref="O30"/>
    </sheetView>
  </sheetViews>
  <sheetFormatPr defaultColWidth="10.90625" defaultRowHeight="14.5" x14ac:dyDescent="0.35"/>
  <cols>
    <col min="2" max="2" width="34.54296875" customWidth="1"/>
    <col min="3" max="3" width="20.7265625" customWidth="1"/>
    <col min="4" max="4" width="23.26953125" customWidth="1"/>
    <col min="5" max="5" width="22.54296875" customWidth="1"/>
    <col min="6" max="6" width="26.81640625" customWidth="1"/>
    <col min="7" max="8" width="29" customWidth="1"/>
    <col min="9" max="9" width="27.453125" customWidth="1"/>
    <col min="10" max="10" width="20" customWidth="1"/>
    <col min="11" max="11" width="23" customWidth="1"/>
    <col min="15" max="15" width="24.54296875" customWidth="1"/>
  </cols>
  <sheetData>
    <row r="1" spans="1:15" x14ac:dyDescent="0.3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O1" s="6" t="s">
        <v>15</v>
      </c>
    </row>
    <row r="2" spans="1:15" x14ac:dyDescent="0.3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O2" s="23">
        <f>COUNTIF(F:F,"Pendiente Confirmacion")</f>
        <v>0</v>
      </c>
    </row>
    <row r="4" spans="1:15" x14ac:dyDescent="0.35">
      <c r="O4" s="8" t="s">
        <v>13</v>
      </c>
    </row>
    <row r="5" spans="1:15" x14ac:dyDescent="0.35">
      <c r="O5" s="24">
        <f>COUNTIFS(F:F,"Cancelado")</f>
        <v>0</v>
      </c>
    </row>
    <row r="7" spans="1:15" x14ac:dyDescent="0.35">
      <c r="O7" s="9" t="s">
        <v>19</v>
      </c>
    </row>
    <row r="8" spans="1:15" x14ac:dyDescent="0.35">
      <c r="O8" s="19">
        <f>COUNTIFS(F:F,"Confirmado",I:I,"19-05-2026")</f>
        <v>0</v>
      </c>
    </row>
    <row r="10" spans="1:15" x14ac:dyDescent="0.35">
      <c r="O10" s="5" t="s">
        <v>42</v>
      </c>
    </row>
    <row r="11" spans="1:15" x14ac:dyDescent="0.35">
      <c r="A11" s="2" t="s">
        <v>1</v>
      </c>
      <c r="B11" s="2" t="s">
        <v>2</v>
      </c>
      <c r="C11" s="2" t="s">
        <v>45</v>
      </c>
      <c r="D11" s="2" t="s">
        <v>8</v>
      </c>
      <c r="E11" s="2" t="s">
        <v>3</v>
      </c>
      <c r="F11" s="2" t="s">
        <v>4</v>
      </c>
      <c r="G11" s="2" t="s">
        <v>9</v>
      </c>
      <c r="H11" s="2" t="s">
        <v>5</v>
      </c>
      <c r="I11" s="2" t="s">
        <v>6</v>
      </c>
      <c r="J11" s="2" t="s">
        <v>10</v>
      </c>
      <c r="K11" s="2" t="s">
        <v>7</v>
      </c>
      <c r="O11" s="18">
        <f>COUNTIFS(F:F,"Novedad Solucionada",I:I,"20-05-2026")</f>
        <v>0</v>
      </c>
    </row>
    <row r="12" spans="1:15" x14ac:dyDescent="0.35">
      <c r="A12">
        <v>1</v>
      </c>
      <c r="B12" t="s">
        <v>48</v>
      </c>
      <c r="C12" s="10" t="s">
        <v>37</v>
      </c>
      <c r="D12" s="4" t="s">
        <v>37</v>
      </c>
      <c r="E12" t="s">
        <v>47</v>
      </c>
      <c r="F12" t="s">
        <v>11</v>
      </c>
      <c r="G12" s="29">
        <v>46148</v>
      </c>
      <c r="H12" s="10" t="s">
        <v>38</v>
      </c>
      <c r="I12" s="29">
        <v>46150</v>
      </c>
      <c r="J12" s="3" t="s">
        <v>37</v>
      </c>
      <c r="K12" t="s">
        <v>27</v>
      </c>
    </row>
    <row r="13" spans="1:15" x14ac:dyDescent="0.35">
      <c r="A13">
        <v>2</v>
      </c>
      <c r="B13" t="s">
        <v>49</v>
      </c>
      <c r="C13" s="10" t="s">
        <v>37</v>
      </c>
      <c r="D13" s="4" t="s">
        <v>37</v>
      </c>
      <c r="E13" t="s">
        <v>50</v>
      </c>
      <c r="F13" t="s">
        <v>11</v>
      </c>
      <c r="G13" s="29">
        <v>46148</v>
      </c>
      <c r="H13" s="10" t="s">
        <v>38</v>
      </c>
      <c r="I13" s="29">
        <v>46148</v>
      </c>
      <c r="J13" s="3" t="s">
        <v>37</v>
      </c>
      <c r="K13" t="s">
        <v>27</v>
      </c>
      <c r="O13" s="11" t="s">
        <v>43</v>
      </c>
    </row>
    <row r="14" spans="1:15" x14ac:dyDescent="0.35">
      <c r="A14">
        <v>3</v>
      </c>
      <c r="B14" t="s">
        <v>51</v>
      </c>
      <c r="C14" s="10" t="s">
        <v>37</v>
      </c>
      <c r="D14" s="4" t="s">
        <v>37</v>
      </c>
      <c r="E14" t="s">
        <v>52</v>
      </c>
      <c r="F14" t="s">
        <v>11</v>
      </c>
      <c r="G14" s="29">
        <v>46148</v>
      </c>
      <c r="H14" s="10" t="s">
        <v>22</v>
      </c>
      <c r="I14" s="29">
        <v>46151</v>
      </c>
      <c r="J14" s="3" t="s">
        <v>37</v>
      </c>
      <c r="K14" t="s">
        <v>27</v>
      </c>
      <c r="O14" s="16">
        <f>COUNTIFS(F:F,"Reclama en Oficina",I:I,"20-05-2026")</f>
        <v>0</v>
      </c>
    </row>
    <row r="15" spans="1:15" x14ac:dyDescent="0.35">
      <c r="A15">
        <v>4</v>
      </c>
      <c r="B15" t="s">
        <v>53</v>
      </c>
      <c r="C15" s="10" t="s">
        <v>37</v>
      </c>
      <c r="D15" s="4" t="s">
        <v>37</v>
      </c>
      <c r="E15" t="s">
        <v>54</v>
      </c>
      <c r="F15" t="s">
        <v>11</v>
      </c>
      <c r="G15" s="29">
        <v>46149</v>
      </c>
      <c r="H15" s="10" t="s">
        <v>38</v>
      </c>
      <c r="I15" s="29">
        <v>46161</v>
      </c>
      <c r="J15" s="3" t="s">
        <v>37</v>
      </c>
      <c r="K15" t="s">
        <v>27</v>
      </c>
    </row>
    <row r="16" spans="1:15" x14ac:dyDescent="0.35">
      <c r="A16">
        <v>5</v>
      </c>
      <c r="B16" t="s">
        <v>55</v>
      </c>
      <c r="C16" s="10" t="s">
        <v>37</v>
      </c>
      <c r="D16" s="4" t="s">
        <v>37</v>
      </c>
      <c r="E16" t="s">
        <v>56</v>
      </c>
      <c r="F16" t="s">
        <v>11</v>
      </c>
      <c r="G16" s="29">
        <v>46151</v>
      </c>
      <c r="H16" s="10" t="s">
        <v>38</v>
      </c>
      <c r="I16" s="29">
        <v>46157</v>
      </c>
      <c r="J16" s="3" t="s">
        <v>37</v>
      </c>
      <c r="K16" t="s">
        <v>27</v>
      </c>
      <c r="O16" s="7" t="s">
        <v>14</v>
      </c>
    </row>
    <row r="17" spans="1:15" x14ac:dyDescent="0.35">
      <c r="A17">
        <v>6</v>
      </c>
      <c r="B17" t="s">
        <v>57</v>
      </c>
      <c r="C17" s="10" t="s">
        <v>37</v>
      </c>
      <c r="D17" s="4" t="s">
        <v>37</v>
      </c>
      <c r="E17" t="s">
        <v>58</v>
      </c>
      <c r="F17" t="s">
        <v>11</v>
      </c>
      <c r="G17" s="29">
        <v>46152</v>
      </c>
      <c r="H17" s="10" t="s">
        <v>38</v>
      </c>
      <c r="I17" s="29">
        <v>46157</v>
      </c>
      <c r="J17" s="3" t="s">
        <v>37</v>
      </c>
      <c r="K17" t="s">
        <v>27</v>
      </c>
      <c r="O17" s="17">
        <f>COUNTIFS(F:F,"Devolucion",I:I,"20-05-2026")</f>
        <v>0</v>
      </c>
    </row>
    <row r="18" spans="1:15" x14ac:dyDescent="0.35">
      <c r="A18">
        <v>7</v>
      </c>
      <c r="B18" t="s">
        <v>59</v>
      </c>
      <c r="C18" s="10" t="s">
        <v>37</v>
      </c>
      <c r="D18" s="4" t="s">
        <v>37</v>
      </c>
      <c r="E18" s="30" t="s">
        <v>60</v>
      </c>
      <c r="F18" t="s">
        <v>16</v>
      </c>
      <c r="G18" s="29">
        <v>46161</v>
      </c>
      <c r="H18" s="10" t="s">
        <v>38</v>
      </c>
      <c r="I18" s="29">
        <v>46161</v>
      </c>
      <c r="J18" s="3" t="s">
        <v>37</v>
      </c>
      <c r="K18" t="s">
        <v>27</v>
      </c>
    </row>
    <row r="19" spans="1:15" x14ac:dyDescent="0.35">
      <c r="A19">
        <v>8</v>
      </c>
      <c r="B19" t="s">
        <v>61</v>
      </c>
      <c r="C19" s="10" t="s">
        <v>37</v>
      </c>
      <c r="D19" s="4" t="s">
        <v>37</v>
      </c>
      <c r="E19" s="30" t="s">
        <v>62</v>
      </c>
      <c r="F19" t="s">
        <v>16</v>
      </c>
      <c r="G19" s="29">
        <v>46161</v>
      </c>
      <c r="H19" s="10" t="s">
        <v>38</v>
      </c>
      <c r="I19" s="29">
        <v>46162</v>
      </c>
      <c r="J19" s="3" t="s">
        <v>37</v>
      </c>
      <c r="K19" t="s">
        <v>27</v>
      </c>
      <c r="O19" s="12" t="s">
        <v>16</v>
      </c>
    </row>
    <row r="20" spans="1:15" x14ac:dyDescent="0.35">
      <c r="A20">
        <v>9</v>
      </c>
      <c r="C20" s="10" t="s">
        <v>37</v>
      </c>
      <c r="D20" s="4" t="s">
        <v>37</v>
      </c>
      <c r="G20" s="29"/>
      <c r="H20" s="10"/>
      <c r="I20" s="29"/>
      <c r="J20" s="3" t="s">
        <v>37</v>
      </c>
      <c r="K20" t="s">
        <v>27</v>
      </c>
      <c r="O20" s="16">
        <f>COUNTIFS(F:F,"Guia Generada",I:I,"20-05-2026")</f>
        <v>1</v>
      </c>
    </row>
    <row r="21" spans="1:15" x14ac:dyDescent="0.35">
      <c r="A21">
        <v>10</v>
      </c>
      <c r="C21" s="10" t="s">
        <v>37</v>
      </c>
      <c r="D21" s="4" t="s">
        <v>37</v>
      </c>
      <c r="G21" s="29"/>
      <c r="H21" s="10"/>
      <c r="I21" s="29"/>
      <c r="J21" s="3" t="s">
        <v>37</v>
      </c>
      <c r="K21" t="s">
        <v>27</v>
      </c>
    </row>
    <row r="22" spans="1:15" x14ac:dyDescent="0.35">
      <c r="A22">
        <v>11</v>
      </c>
      <c r="C22" s="10" t="s">
        <v>37</v>
      </c>
      <c r="D22" s="4" t="s">
        <v>37</v>
      </c>
      <c r="G22" s="29"/>
      <c r="H22" s="10"/>
      <c r="I22" s="29"/>
      <c r="J22" s="3" t="s">
        <v>37</v>
      </c>
      <c r="K22" t="s">
        <v>27</v>
      </c>
      <c r="O22" s="13" t="s">
        <v>11</v>
      </c>
    </row>
    <row r="23" spans="1:15" x14ac:dyDescent="0.35">
      <c r="A23">
        <v>12</v>
      </c>
      <c r="C23" s="10" t="s">
        <v>37</v>
      </c>
      <c r="D23" s="4" t="s">
        <v>37</v>
      </c>
      <c r="G23" s="29"/>
      <c r="H23" s="10"/>
      <c r="I23" s="29"/>
      <c r="J23" s="3" t="s">
        <v>37</v>
      </c>
      <c r="K23" t="s">
        <v>27</v>
      </c>
      <c r="O23" s="20">
        <f>COUNTIFS(F:F,"Entregado",I:I,"20-05-2026")</f>
        <v>0</v>
      </c>
    </row>
    <row r="24" spans="1:15" x14ac:dyDescent="0.35">
      <c r="A24">
        <v>13</v>
      </c>
      <c r="C24" s="10" t="s">
        <v>37</v>
      </c>
      <c r="D24" s="4" t="s">
        <v>37</v>
      </c>
      <c r="G24" s="29"/>
      <c r="H24" s="10"/>
      <c r="I24" s="29"/>
      <c r="J24" s="3" t="s">
        <v>37</v>
      </c>
      <c r="K24" t="s">
        <v>27</v>
      </c>
    </row>
    <row r="25" spans="1:15" x14ac:dyDescent="0.35">
      <c r="A25">
        <v>14</v>
      </c>
      <c r="C25" s="10" t="s">
        <v>37</v>
      </c>
      <c r="D25" s="4" t="s">
        <v>37</v>
      </c>
      <c r="G25" s="29"/>
      <c r="H25" s="10"/>
      <c r="I25" s="29"/>
      <c r="J25" s="3" t="s">
        <v>37</v>
      </c>
      <c r="K25" t="s">
        <v>27</v>
      </c>
      <c r="O25" s="14" t="s">
        <v>32</v>
      </c>
    </row>
    <row r="26" spans="1:15" x14ac:dyDescent="0.35">
      <c r="A26">
        <v>15</v>
      </c>
      <c r="C26" s="10" t="s">
        <v>37</v>
      </c>
      <c r="D26" s="4" t="s">
        <v>37</v>
      </c>
      <c r="G26" s="29"/>
      <c r="H26" s="10"/>
      <c r="I26" s="29"/>
      <c r="J26" s="3" t="s">
        <v>37</v>
      </c>
      <c r="K26" t="s">
        <v>27</v>
      </c>
      <c r="O26" s="21">
        <f>COUNTIFS(F:F,"En Reparto",I:I,"20-05-2026")</f>
        <v>0</v>
      </c>
    </row>
    <row r="27" spans="1:15" x14ac:dyDescent="0.35">
      <c r="A27">
        <v>16</v>
      </c>
      <c r="C27" s="10" t="s">
        <v>37</v>
      </c>
      <c r="D27" s="4" t="s">
        <v>37</v>
      </c>
      <c r="G27" s="29"/>
      <c r="H27" s="10"/>
      <c r="I27" s="29"/>
      <c r="J27" s="3" t="s">
        <v>37</v>
      </c>
      <c r="K27" t="s">
        <v>27</v>
      </c>
    </row>
    <row r="28" spans="1:15" x14ac:dyDescent="0.35">
      <c r="A28">
        <v>17</v>
      </c>
      <c r="C28" s="10" t="s">
        <v>37</v>
      </c>
      <c r="D28" s="4" t="s">
        <v>37</v>
      </c>
      <c r="G28" s="29"/>
      <c r="H28" s="10"/>
      <c r="I28" s="29"/>
      <c r="J28" s="3" t="s">
        <v>37</v>
      </c>
      <c r="K28" t="s">
        <v>27</v>
      </c>
      <c r="O28" s="15" t="s">
        <v>44</v>
      </c>
    </row>
    <row r="29" spans="1:15" x14ac:dyDescent="0.35">
      <c r="A29">
        <v>18</v>
      </c>
      <c r="C29" s="10" t="s">
        <v>37</v>
      </c>
      <c r="D29" s="4" t="s">
        <v>37</v>
      </c>
      <c r="G29" s="29"/>
      <c r="H29" s="10"/>
      <c r="I29" s="29"/>
      <c r="J29" s="3" t="s">
        <v>37</v>
      </c>
      <c r="K29" t="s">
        <v>27</v>
      </c>
      <c r="O29" s="22">
        <f>COUNTIFS(F:F,"Novedades",I:I,"20-05-2026")</f>
        <v>0</v>
      </c>
    </row>
    <row r="30" spans="1:15" x14ac:dyDescent="0.35">
      <c r="A30">
        <v>19</v>
      </c>
      <c r="C30" s="10" t="s">
        <v>37</v>
      </c>
      <c r="D30" s="4" t="s">
        <v>37</v>
      </c>
      <c r="G30" s="29"/>
      <c r="H30" s="10"/>
      <c r="I30" s="29"/>
      <c r="J30" s="3" t="s">
        <v>37</v>
      </c>
      <c r="K30" t="s">
        <v>27</v>
      </c>
    </row>
    <row r="31" spans="1:15" x14ac:dyDescent="0.35">
      <c r="O31" s="27" t="s">
        <v>46</v>
      </c>
    </row>
    <row r="32" spans="1:15" x14ac:dyDescent="0.35">
      <c r="O32" s="28">
        <f>COUNTIFS(F:F,"Garantias",I:I,"19-05-2026")</f>
        <v>0</v>
      </c>
    </row>
    <row r="372" spans="16:16" x14ac:dyDescent="0.35">
      <c r="P372" s="10"/>
    </row>
    <row r="377" spans="16:16" x14ac:dyDescent="0.35">
      <c r="P377" s="10"/>
    </row>
  </sheetData>
  <mergeCells count="1">
    <mergeCell ref="A1:K2"/>
  </mergeCells>
  <phoneticPr fontId="5" type="noConversion"/>
  <conditionalFormatting sqref="F12:F30">
    <cfRule type="containsText" dxfId="24" priority="1" operator="containsText" text="Garantias">
      <formula>NOT(ISERROR(SEARCH("Garantias",F12)))</formula>
    </cfRule>
    <cfRule type="containsText" dxfId="23" priority="2" operator="containsText" text="Garantias">
      <formula>NOT(ISERROR(SEARCH("Garantias",F12)))</formula>
    </cfRule>
    <cfRule type="containsText" dxfId="22" priority="3" operator="containsText" text="Novedad Solucionada">
      <formula>NOT(ISERROR(SEARCH("Novedad Solucionada",F12)))</formula>
    </cfRule>
    <cfRule type="containsText" dxfId="21" priority="4" operator="containsText" text="Seguimientos">
      <formula>NOT(ISERROR(SEARCH("Seguimientos",F12)))</formula>
    </cfRule>
    <cfRule type="containsText" dxfId="20" priority="5" operator="containsText" text="Seguimientos">
      <formula>NOT(ISERROR(SEARCH("Seguimientos",F12)))</formula>
    </cfRule>
    <cfRule type="containsText" dxfId="19" priority="6" operator="containsText" text="Seguimientos">
      <formula>NOT(ISERROR(SEARCH("Seguimientos",F12)))</formula>
    </cfRule>
    <cfRule type="containsText" dxfId="18" priority="7" operator="containsText" text="Seguimientos">
      <formula>NOT(ISERROR(SEARCH("Seguimientos",F12)))</formula>
    </cfRule>
    <cfRule type="containsText" dxfId="17" priority="8" operator="containsText" text="Seguimiento Novedad">
      <formula>NOT(ISERROR(SEARCH("Seguimiento Novedad",F12)))</formula>
    </cfRule>
    <cfRule type="containsText" dxfId="16" priority="9" operator="containsText" text="Novedad">
      <formula>NOT(ISERROR(SEARCH("Novedad",F12)))</formula>
    </cfRule>
    <cfRule type="containsText" dxfId="15" priority="17" operator="containsText" text="Confirmado">
      <formula>NOT(ISERROR(SEARCH("Confirmado",F12)))</formula>
    </cfRule>
    <cfRule type="containsText" dxfId="14" priority="18" operator="containsText" text="Confirmado">
      <formula>NOT(ISERROR(SEARCH("Confirmado",F12)))</formula>
    </cfRule>
    <cfRule type="containsText" dxfId="13" priority="19" operator="containsText" text="Reclama en Oficina">
      <formula>NOT(ISERROR(SEARCH("Reclama en Oficina",F12)))</formula>
    </cfRule>
    <cfRule type="containsText" dxfId="12" priority="20" operator="containsText" text="En Reparto">
      <formula>NOT(ISERROR(SEARCH("En Reparto",F12)))</formula>
    </cfRule>
    <cfRule type="containsText" dxfId="11" priority="21" operator="containsText" text="Pendiente Novedad">
      <formula>NOT(ISERROR(SEARCH("Pendiente Novedad",F12)))</formula>
    </cfRule>
    <cfRule type="containsText" dxfId="10" priority="22" operator="containsText" text="Pendiente Novedad">
      <formula>NOT(ISERROR(SEARCH("Pendiente Novedad",F12)))</formula>
    </cfRule>
    <cfRule type="containsText" dxfId="9" priority="23" operator="containsText" text="Seguimiento Novedad">
      <formula>NOT(ISERROR(SEARCH("Seguimiento Novedad",F12)))</formula>
    </cfRule>
    <cfRule type="containsText" dxfId="8" priority="24" operator="containsText" text="Guia Pendiente">
      <formula>NOT(ISERROR(SEARCH("Guia Pendiente",F12)))</formula>
    </cfRule>
    <cfRule type="containsText" dxfId="7" priority="25" operator="containsText" text="Guia Generada">
      <formula>NOT(ISERROR(SEARCH("Guia Generada",F12)))</formula>
    </cfRule>
    <cfRule type="containsText" dxfId="6" priority="26" operator="containsText" text="Cancelado">
      <formula>NOT(ISERROR(SEARCH("Cancelado",F12)))</formula>
    </cfRule>
    <cfRule type="containsText" dxfId="5" priority="27" operator="containsText" text="Pendiente Confirmacion">
      <formula>NOT(ISERROR(SEARCH("Pendiente Confirmacion",F12)))</formula>
    </cfRule>
    <cfRule type="containsText" dxfId="4" priority="28" operator="containsText" text="Pendiente Confirmacion">
      <formula>NOT(ISERROR(SEARCH("Pendiente Confirmacion",F12)))</formula>
    </cfRule>
    <cfRule type="containsText" dxfId="3" priority="29" operator="containsText" text="Guia Generada">
      <formula>NOT(ISERROR(SEARCH("Guia Generada",F12)))</formula>
    </cfRule>
    <cfRule type="containsText" dxfId="2" priority="30" operator="containsText" text="Guia Generada">
      <formula>NOT(ISERROR(SEARCH("Guia Generada",F12)))</formula>
    </cfRule>
    <cfRule type="containsText" dxfId="1" priority="31" operator="containsText" text="Entregado">
      <formula>NOT(ISERROR(SEARCH("Entregado",F12)))</formula>
    </cfRule>
    <cfRule type="containsText" dxfId="0" priority="32" operator="containsText" text="Devolucion">
      <formula>NOT(ISERROR(SEARCH("Devolucion",F12)))</formula>
    </cfRule>
  </conditionalFormatting>
  <dataValidations count="3">
    <dataValidation type="list" allowBlank="1" showInputMessage="1" showErrorMessage="1" sqref="F12:F30" xr:uid="{986CA990-49EB-4070-98D9-35217D3711A9}">
      <formula1>EST</formula1>
    </dataValidation>
    <dataValidation type="list" allowBlank="1" showInputMessage="1" showErrorMessage="1" sqref="H12:H30" xr:uid="{4CB09A3F-FBB9-4C38-B5C0-DC426195A205}">
      <formula1>PRO</formula1>
    </dataValidation>
    <dataValidation type="list" allowBlank="1" showInputMessage="1" showErrorMessage="1" sqref="K12:K30" xr:uid="{D0C8B1E3-3357-4148-BB77-33D1ECE5573E}">
      <formula1>RES</formula1>
    </dataValidation>
  </dataValidations>
  <hyperlinks>
    <hyperlink ref="D12" r:id="rId1" display="juanp@ejemplo.com" xr:uid="{390B0FC2-33CC-4A47-872D-3616D31A081F}"/>
    <hyperlink ref="D13" r:id="rId2" display="juanp@ejemplo.com" xr:uid="{CC7969FC-DC59-4133-A764-5F2F286B1243}"/>
    <hyperlink ref="D14" r:id="rId3" display="juanp@ejemplo.com" xr:uid="{429340CC-99E9-43A9-B50B-29C3B2CE113D}"/>
    <hyperlink ref="D15" r:id="rId4" display="juanp@ejemplo.com" xr:uid="{C998621C-D7AB-4839-B1ED-C5018A1797D6}"/>
    <hyperlink ref="D16" r:id="rId5" display="juanp@ejemplo.com" xr:uid="{C3014262-F33C-4DF7-AD40-D05F022217CF}"/>
    <hyperlink ref="D17" r:id="rId6" display="juanp@ejemplo.com" xr:uid="{95F6DC8B-E4C7-4E97-8D51-75811E097B02}"/>
    <hyperlink ref="D18" r:id="rId7" display="juanp@ejemplo.com" xr:uid="{71DD492C-2DB8-4C1F-A565-A06D8F1F01D9}"/>
    <hyperlink ref="D19" r:id="rId8" display="juanp@ejemplo.com" xr:uid="{C55D6D40-6F25-49B6-BFF7-DFDB8F802A31}"/>
    <hyperlink ref="D23" r:id="rId9" display="juanp@ejemplo.com" xr:uid="{031BB359-1C4E-4A43-9B6E-3F1CE53F10CF}"/>
    <hyperlink ref="D27" r:id="rId10" display="juanp@ejemplo.com" xr:uid="{9E85CF5C-EF89-4B65-8A03-DEC402703B9B}"/>
    <hyperlink ref="D20" r:id="rId11" display="juanp@ejemplo.com" xr:uid="{EABF753C-FE41-474B-BF33-892C0CA20381}"/>
    <hyperlink ref="D24" r:id="rId12" display="juanp@ejemplo.com" xr:uid="{8B236DF0-0014-41B6-B828-799924C196A6}"/>
    <hyperlink ref="D28" r:id="rId13" display="juanp@ejemplo.com" xr:uid="{DFA577DD-EBBD-4055-AD8A-F8ADE6F7E334}"/>
    <hyperlink ref="D21" r:id="rId14" display="juanp@ejemplo.com" xr:uid="{A5688502-B94C-4FF4-9FAD-F488C7CFA248}"/>
    <hyperlink ref="D25" r:id="rId15" display="juanp@ejemplo.com" xr:uid="{05EA9539-F5C6-4D88-87CC-2A3DAF0CF034}"/>
    <hyperlink ref="D29" r:id="rId16" display="juanp@ejemplo.com" xr:uid="{0E96BA8F-8E68-41C6-BCE1-9AF3931CF86F}"/>
    <hyperlink ref="D22" r:id="rId17" display="juanp@ejemplo.com" xr:uid="{55BD3494-49A8-455B-86C0-939FB71D897B}"/>
    <hyperlink ref="D26" r:id="rId18" display="juanp@ejemplo.com" xr:uid="{E3518723-322C-4D15-9F7D-446C0F656B40}"/>
    <hyperlink ref="D30" r:id="rId19" display="juanp@ejemplo.com" xr:uid="{C966AC71-D7B5-4A5E-973A-BD1B876478B6}"/>
  </hyperlinks>
  <pageMargins left="0.7" right="0.7" top="0.75" bottom="0.75" header="0.3" footer="0.3"/>
  <pageSetup paperSize="9" orientation="portrait" r:id="rId20"/>
  <drawing r:id="rId21"/>
  <tableParts count="1">
    <tablePart r:id="rId2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2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C2E5-4358-4B0D-9633-9C34DA6DAC92}">
  <dimension ref="B1:E4"/>
  <sheetViews>
    <sheetView workbookViewId="0">
      <selection activeCell="D4" sqref="D4"/>
    </sheetView>
  </sheetViews>
  <sheetFormatPr defaultColWidth="10.90625" defaultRowHeight="14.5" x14ac:dyDescent="0.35"/>
  <cols>
    <col min="2" max="2" width="22.453125" customWidth="1"/>
    <col min="3" max="3" width="22.54296875" customWidth="1"/>
    <col min="4" max="4" width="26.26953125" customWidth="1"/>
    <col min="5" max="5" width="21" customWidth="1"/>
  </cols>
  <sheetData>
    <row r="1" spans="2:5" ht="15" customHeight="1" x14ac:dyDescent="0.35">
      <c r="B1" s="32" t="s">
        <v>34</v>
      </c>
      <c r="C1" s="32"/>
      <c r="D1" s="32"/>
      <c r="E1" s="32"/>
    </row>
    <row r="2" spans="2:5" ht="15" customHeight="1" x14ac:dyDescent="0.35">
      <c r="B2" s="32"/>
      <c r="C2" s="32"/>
      <c r="D2" s="32"/>
      <c r="E2" s="32"/>
    </row>
    <row r="3" spans="2:5" x14ac:dyDescent="0.35">
      <c r="B3" t="s">
        <v>7</v>
      </c>
      <c r="C3" t="s">
        <v>4</v>
      </c>
      <c r="D3" t="s">
        <v>35</v>
      </c>
      <c r="E3" t="s">
        <v>36</v>
      </c>
    </row>
    <row r="4" spans="2:5" x14ac:dyDescent="0.35">
      <c r="B4" s="25"/>
      <c r="C4" s="25"/>
      <c r="D4" s="26"/>
      <c r="E4" s="25"/>
    </row>
  </sheetData>
  <mergeCells count="1">
    <mergeCell ref="B1:E2"/>
  </mergeCells>
  <dataValidations count="1">
    <dataValidation type="list" allowBlank="1" showInputMessage="1" showErrorMessage="1" sqref="C4" xr:uid="{1450E37F-57F7-48FE-BB02-DA512C04C397}">
      <formula1>EST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DF83-01CC-4892-9DA4-EF29C79E732D}">
  <dimension ref="B1:F17"/>
  <sheetViews>
    <sheetView topLeftCell="A7" workbookViewId="0">
      <selection activeCell="B20" sqref="B20"/>
    </sheetView>
  </sheetViews>
  <sheetFormatPr defaultColWidth="10.90625" defaultRowHeight="14.5" x14ac:dyDescent="0.35"/>
  <cols>
    <col min="2" max="2" width="22.26953125" customWidth="1"/>
    <col min="4" max="4" width="23.7265625" customWidth="1"/>
    <col min="6" max="6" width="17.1796875" customWidth="1"/>
    <col min="7" max="7" width="12" customWidth="1"/>
  </cols>
  <sheetData>
    <row r="1" spans="2:6" x14ac:dyDescent="0.35">
      <c r="B1" t="s">
        <v>20</v>
      </c>
      <c r="D1" t="s">
        <v>26</v>
      </c>
      <c r="F1" t="s">
        <v>31</v>
      </c>
    </row>
    <row r="2" spans="2:6" x14ac:dyDescent="0.35">
      <c r="B2" s="1" t="s">
        <v>4</v>
      </c>
      <c r="D2" t="s">
        <v>5</v>
      </c>
      <c r="F2" t="s">
        <v>7</v>
      </c>
    </row>
    <row r="3" spans="2:6" x14ac:dyDescent="0.35">
      <c r="B3" t="s">
        <v>11</v>
      </c>
      <c r="D3" t="s">
        <v>25</v>
      </c>
      <c r="F3" t="s">
        <v>27</v>
      </c>
    </row>
    <row r="4" spans="2:6" x14ac:dyDescent="0.35">
      <c r="B4" t="s">
        <v>12</v>
      </c>
      <c r="D4" t="s">
        <v>21</v>
      </c>
      <c r="F4" t="s">
        <v>28</v>
      </c>
    </row>
    <row r="5" spans="2:6" x14ac:dyDescent="0.35">
      <c r="B5" t="s">
        <v>13</v>
      </c>
      <c r="D5" t="s">
        <v>38</v>
      </c>
      <c r="F5" t="s">
        <v>29</v>
      </c>
    </row>
    <row r="6" spans="2:6" x14ac:dyDescent="0.35">
      <c r="B6" t="s">
        <v>14</v>
      </c>
      <c r="D6" t="s">
        <v>22</v>
      </c>
      <c r="F6" t="s">
        <v>30</v>
      </c>
    </row>
    <row r="7" spans="2:6" x14ac:dyDescent="0.35">
      <c r="B7" t="s">
        <v>15</v>
      </c>
      <c r="D7" t="s">
        <v>23</v>
      </c>
    </row>
    <row r="8" spans="2:6" x14ac:dyDescent="0.35">
      <c r="B8" t="s">
        <v>16</v>
      </c>
      <c r="D8" t="s">
        <v>24</v>
      </c>
    </row>
    <row r="9" spans="2:6" x14ac:dyDescent="0.35">
      <c r="B9" t="s">
        <v>17</v>
      </c>
    </row>
    <row r="10" spans="2:6" x14ac:dyDescent="0.35">
      <c r="B10" t="s">
        <v>40</v>
      </c>
    </row>
    <row r="11" spans="2:6" x14ac:dyDescent="0.35">
      <c r="B11" t="s">
        <v>18</v>
      </c>
    </row>
    <row r="12" spans="2:6" x14ac:dyDescent="0.35">
      <c r="B12" t="s">
        <v>19</v>
      </c>
    </row>
    <row r="13" spans="2:6" x14ac:dyDescent="0.35">
      <c r="B13" t="s">
        <v>32</v>
      </c>
    </row>
    <row r="14" spans="2:6" x14ac:dyDescent="0.35">
      <c r="B14" t="s">
        <v>33</v>
      </c>
    </row>
    <row r="15" spans="2:6" x14ac:dyDescent="0.35">
      <c r="B15" t="s">
        <v>39</v>
      </c>
    </row>
    <row r="16" spans="2:6" x14ac:dyDescent="0.35">
      <c r="B16" t="s">
        <v>41</v>
      </c>
    </row>
    <row r="17" spans="2:2" x14ac:dyDescent="0.35">
      <c r="B17" t="s">
        <v>46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CRM</vt:lpstr>
      <vt:lpstr>CONTADOR</vt:lpstr>
      <vt:lpstr>PARAMETROS</vt:lpstr>
      <vt:lpstr>EST</vt:lpstr>
      <vt:lpstr>PRO</vt:lpstr>
      <vt:lpstr>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sanabria</dc:creator>
  <cp:lastModifiedBy>JHON SEBASTIAN SANABRIA FLOREZ</cp:lastModifiedBy>
  <dcterms:created xsi:type="dcterms:W3CDTF">2024-12-02T23:33:51Z</dcterms:created>
  <dcterms:modified xsi:type="dcterms:W3CDTF">2026-05-20T22:45:21Z</dcterms:modified>
</cp:coreProperties>
</file>